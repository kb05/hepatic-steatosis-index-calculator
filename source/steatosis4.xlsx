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CaboVillalón\Desktop\"/>
    </mc:Choice>
  </mc:AlternateContent>
  <xr:revisionPtr revIDLastSave="0" documentId="13_ncr:1_{40BEE715-12A3-43BC-B474-62A3A6135434}" xr6:coauthVersionLast="47" xr6:coauthVersionMax="47" xr10:uidLastSave="{00000000-0000-0000-0000-000000000000}"/>
  <workbookProtection workbookAlgorithmName="SHA-512" workbookHashValue="KaEMydUHqZbCsDi1i0MipoPgLN2MD2sMdzpRWTgzxweTUq33nrv+HD5uEuUoSZ9XqR08FbSWtIRRMDWemFtRpw==" workbookSaltValue="03U/GB/7XMMRC8BkWBCIXQ==" workbookSpinCount="100000" lockStructure="1"/>
  <bookViews>
    <workbookView xWindow="-120" yWindow="-120" windowWidth="29040" windowHeight="15840" xr2:uid="{0BC611A9-00F5-4DE4-B9B3-29561C32C9F2}"/>
  </bookViews>
  <sheets>
    <sheet name="ex-teatosis" sheetId="1" r:id="rId1"/>
    <sheet name="formul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3" i="1" l="1"/>
  <c r="B29" i="1"/>
  <c r="B7" i="1"/>
  <c r="B21" i="1" s="1"/>
  <c r="B37" i="1" l="1"/>
  <c r="B25" i="1"/>
</calcChain>
</file>

<file path=xl/sharedStrings.xml><?xml version="1.0" encoding="utf-8"?>
<sst xmlns="http://schemas.openxmlformats.org/spreadsheetml/2006/main" count="109" uniqueCount="95">
  <si>
    <t>VARIABLES</t>
  </si>
  <si>
    <t>VALORES</t>
  </si>
  <si>
    <t>EDAD</t>
  </si>
  <si>
    <t>F0</t>
  </si>
  <si>
    <t>NO FIBROSIS</t>
  </si>
  <si>
    <t>TALLA (en cm)</t>
  </si>
  <si>
    <t>FIBROSIS SCORE</t>
  </si>
  <si>
    <t>F1</t>
  </si>
  <si>
    <t>FIBROSIS PORTAL SIN SEPTOS</t>
  </si>
  <si>
    <t>PESO (en Kg)</t>
  </si>
  <si>
    <t>ESCALA</t>
  </si>
  <si>
    <t>F2</t>
  </si>
  <si>
    <t>FIBROSIS PORTAL CON POCOS SEPTOS DE FIBROSIS</t>
  </si>
  <si>
    <t>IMC</t>
  </si>
  <si>
    <t>METAVIR</t>
  </si>
  <si>
    <t>F3</t>
  </si>
  <si>
    <t>NUMEROSOS SEPTOS DE FIBROSIS SIN CIRROSIS</t>
  </si>
  <si>
    <t>PERIMETRO ABDOMINAL</t>
  </si>
  <si>
    <t>F4</t>
  </si>
  <si>
    <t>CIRROSIS</t>
  </si>
  <si>
    <t>SEXO * (MUJER SI/NO)</t>
  </si>
  <si>
    <r>
      <rPr>
        <b/>
        <sz val="10"/>
        <color theme="1"/>
        <rFont val="Tahoma"/>
        <family val="2"/>
      </rPr>
      <t>♀</t>
    </r>
    <r>
      <rPr>
        <b/>
        <sz val="10"/>
        <color theme="1"/>
        <rFont val="Aptos Narrow"/>
        <family val="2"/>
      </rPr>
      <t xml:space="preserve">: 1 </t>
    </r>
    <r>
      <rPr>
        <b/>
        <sz val="10"/>
        <color theme="1"/>
        <rFont val="Tahoma"/>
        <family val="2"/>
      </rPr>
      <t>♂</t>
    </r>
    <r>
      <rPr>
        <b/>
        <sz val="10"/>
        <color theme="1"/>
        <rFont val="Aptos Narrow"/>
        <family val="2"/>
      </rPr>
      <t>: 0</t>
    </r>
  </si>
  <si>
    <t>DIABETES MELLITUS/GBA * (SI/NO)</t>
  </si>
  <si>
    <t xml:space="preserve"> VARIABLES UTILIZADAS</t>
  </si>
  <si>
    <t>AST-GOT</t>
  </si>
  <si>
    <t>FLI</t>
  </si>
  <si>
    <t>TRIGLICERIDOS-IMC-GGT-PERIMETRO ABDOMINAL</t>
  </si>
  <si>
    <t>ALT-GPT</t>
  </si>
  <si>
    <t>HSI</t>
  </si>
  <si>
    <t>GGT</t>
  </si>
  <si>
    <t>PLAQUETAS</t>
  </si>
  <si>
    <t>FIB-4</t>
  </si>
  <si>
    <t>EDAD-PLAQUETAS-AST-ALT</t>
  </si>
  <si>
    <t>ALBUMINA</t>
  </si>
  <si>
    <t>APRI</t>
  </si>
  <si>
    <t>AST-PLAQUETAS-ULN**</t>
  </si>
  <si>
    <t>TRIGLICERIDOS</t>
  </si>
  <si>
    <t>NFS</t>
  </si>
  <si>
    <t>EDAD-PLAQUETAS-AST-ALT-IMC-GBA/DM-ALBUMINA</t>
  </si>
  <si>
    <t>CALCULO</t>
  </si>
  <si>
    <t>RESULTADO</t>
  </si>
  <si>
    <t>INTERPRETACION</t>
  </si>
  <si>
    <t>&lt;1,45</t>
  </si>
  <si>
    <t>Bajo riesgo de fibrosis F0-F1</t>
  </si>
  <si>
    <t>1,45-3,25</t>
  </si>
  <si>
    <t>&gt;3,25</t>
  </si>
  <si>
    <t>Fibrosis significativa F3-F4</t>
  </si>
  <si>
    <t>&lt;0,5</t>
  </si>
  <si>
    <t>Ausencia de fibrosis significativa</t>
  </si>
  <si>
    <t>AST to Platelet Ratio Index</t>
  </si>
  <si>
    <t>0,5-1,5</t>
  </si>
  <si>
    <t>&gt;1,5</t>
  </si>
  <si>
    <t>Fibrosis significativa</t>
  </si>
  <si>
    <t>&lt;30</t>
  </si>
  <si>
    <t>Fatty Liver Index</t>
  </si>
  <si>
    <t>30-59</t>
  </si>
  <si>
    <t>≥60</t>
  </si>
  <si>
    <t>Alta probabilidad de esteatosis hepática</t>
  </si>
  <si>
    <t>Baja probabilidad de esteatosis hepatica</t>
  </si>
  <si>
    <t>Hepatic Steatosis Index</t>
  </si>
  <si>
    <t>30-35,9</t>
  </si>
  <si>
    <t>Zona intermedia. Valores indeterminados. Requiere otros metodos de evaluacion</t>
  </si>
  <si>
    <t>&gt;36</t>
  </si>
  <si>
    <t>&lt;-1,455</t>
  </si>
  <si>
    <t>Riesgo bajo de fibrosis F0-F1</t>
  </si>
  <si>
    <t>NAFLD Fibrosis Score</t>
  </si>
  <si>
    <t>-1,455-0,675</t>
  </si>
  <si>
    <t>&gt;0,675</t>
  </si>
  <si>
    <t>Alto riesgo de fibrosis F3-F4</t>
  </si>
  <si>
    <t>FIB-4 = (Edad × AST) / (Plaquetas × √ALT)</t>
  </si>
  <si>
    <r>
      <t>APRI</t>
    </r>
    <r>
      <rPr>
        <sz val="11"/>
        <color rgb="FF333333"/>
        <rFont val="Arial"/>
        <family val="2"/>
      </rPr>
      <t>= [AST(U/L) /35 (ULN*) ]/ plaquetas x 100</t>
    </r>
  </si>
  <si>
    <r>
      <t xml:space="preserve">FLI= (e </t>
    </r>
    <r>
      <rPr>
        <vertAlign val="superscript"/>
        <sz val="11"/>
        <color rgb="FF505050"/>
        <rFont val="Aptos Narrow"/>
        <family val="2"/>
        <scheme val="minor"/>
      </rPr>
      <t>0,953*loge (triglicéridos)+0,139*IMC+0,718*loge (GGT)+0,053* perímetro abdominal−15745</t>
    </r>
    <r>
      <rPr>
        <sz val="11"/>
        <color rgb="FF505050"/>
        <rFont val="Aptos Narrow"/>
        <family val="2"/>
        <scheme val="minor"/>
      </rPr>
      <t>)/(1+e</t>
    </r>
    <r>
      <rPr>
        <vertAlign val="superscript"/>
        <sz val="11"/>
        <color rgb="FF505050"/>
        <rFont val="Aptos Narrow"/>
        <family val="2"/>
        <scheme val="minor"/>
      </rPr>
      <t>0,953*loge (triglicéridos)+0,139*IMC+0,718*loge (GGT)+0,053* perímetro abdominal−15.745</t>
    </r>
    <r>
      <rPr>
        <sz val="11"/>
        <color rgb="FF505050"/>
        <rFont val="Aptos Narrow"/>
        <family val="2"/>
        <scheme val="minor"/>
      </rPr>
      <t>) * 100</t>
    </r>
  </si>
  <si>
    <t>HSI= 8 x (ALT/AST) + IMC + 2 (si es mujer) + 2 (si tiene diabetes mellitus tipo II)</t>
  </si>
  <si>
    <r>
      <t xml:space="preserve">NFS = −1,675 + 0,037×edad + 0,094×IMC </t>
    </r>
    <r>
      <rPr>
        <sz val="11"/>
        <color rgb="FF1B1B1B"/>
        <rFont val="Aptos Narrow"/>
        <family val="2"/>
        <scheme val="minor"/>
      </rPr>
      <t>+ 1,13×(GBA** o diabetes [sí=1, no=0]) + 0,99×(AST/ALT) − 0,013×plaquetas − 0,66×albúmina</t>
    </r>
  </si>
  <si>
    <r>
      <rPr>
        <b/>
        <sz val="9"/>
        <color theme="1"/>
        <rFont val="Aptos Narrow"/>
        <family val="2"/>
        <scheme val="minor"/>
      </rPr>
      <t>* ULN</t>
    </r>
    <r>
      <rPr>
        <sz val="9"/>
        <color theme="1"/>
        <rFont val="Aptos Narrow"/>
        <family val="2"/>
        <scheme val="minor"/>
      </rPr>
      <t>: (upper limit of normal) Límite superior de la normalidad de AST (laboratorio)</t>
    </r>
  </si>
  <si>
    <r>
      <rPr>
        <b/>
        <sz val="9"/>
        <color theme="1"/>
        <rFont val="Aptos Narrow"/>
        <family val="2"/>
        <scheme val="minor"/>
      </rPr>
      <t>** GBA</t>
    </r>
    <r>
      <rPr>
        <sz val="9"/>
        <color theme="1"/>
        <rFont val="Aptos Narrow"/>
        <family val="2"/>
        <scheme val="minor"/>
      </rPr>
      <t>: Glucemia Basal Alterada</t>
    </r>
  </si>
  <si>
    <t>AST-ALT-IMC-♀-DM</t>
  </si>
  <si>
    <t>TyG Index</t>
  </si>
  <si>
    <t>TyG=Ln[(Trigliceridos (mg/dl)xGlucosa en ayunas (mg/dl))/2]</t>
  </si>
  <si>
    <t>TyG-IMC:</t>
  </si>
  <si>
    <t>TyG-CC:</t>
  </si>
  <si>
    <t>TyG x IMC</t>
  </si>
  <si>
    <t>TyG x perimetro abdominal</t>
  </si>
  <si>
    <t xml:space="preserve">           * GBA: GLUCEMIA BASAL ALTERADA                                                                                                                                 ** ULN: (upper limit of normal) Límite superior de la normalidad de AST (laboratorio)</t>
  </si>
  <si>
    <t>hombre</t>
  </si>
  <si>
    <t>mujer</t>
  </si>
  <si>
    <t>LAP=(Perimetro abdominal[cm]-65) x (trigliceridos [mg/dl]/88,5)</t>
  </si>
  <si>
    <t>LAP=(Perimetro abdominal[cm]-58) x (trigliceridos [mg/dl]/88,5)</t>
  </si>
  <si>
    <t>LAP</t>
  </si>
  <si>
    <r>
      <rPr>
        <b/>
        <sz val="9"/>
        <color theme="1"/>
        <rFont val="Aptos Narrow"/>
        <family val="2"/>
        <scheme val="minor"/>
      </rPr>
      <t>LAP</t>
    </r>
    <r>
      <rPr>
        <sz val="9"/>
        <color theme="1"/>
        <rFont val="Aptos Narrow"/>
        <family val="2"/>
        <scheme val="minor"/>
      </rPr>
      <t xml:space="preserve">: Lipid Accumulation Product </t>
    </r>
  </si>
  <si>
    <t xml:space="preserve"> NIVELES DE FIBROSIS</t>
  </si>
  <si>
    <t>DM:2   GBA:1</t>
  </si>
  <si>
    <t>Poca probabilidad de esteatosis</t>
  </si>
  <si>
    <t>Zona intermedia. Probable fibrosis. Requiere otros metodos de evaluacion</t>
  </si>
  <si>
    <t>Zona intermedia. Probable fibrosis. Requiere otro metodo de evaluacion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</si>
</sst>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</font>
    <font>
      <b/>
      <sz val="10"/>
      <color theme="1"/>
      <name val="Tahoma"/>
      <family val="2"/>
    </font>
    <font>
      <b/>
      <sz val="8"/>
      <color theme="1"/>
      <name val="Aptos Narrow"/>
      <family val="2"/>
      <scheme val="minor"/>
    </font>
    <font>
      <sz val="11"/>
      <color rgb="FF333333"/>
      <name val="Arial"/>
      <family val="2"/>
    </font>
    <font>
      <vertAlign val="superscript"/>
      <sz val="11"/>
      <color rgb="FF505050"/>
      <name val="Aptos Narrow"/>
      <family val="2"/>
      <scheme val="minor"/>
    </font>
    <font>
      <sz val="11"/>
      <color rgb="FF505050"/>
      <name val="Aptos Narrow"/>
      <family val="2"/>
      <scheme val="minor"/>
    </font>
    <font>
      <sz val="11"/>
      <color rgb="FF1B1B1B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80">
    <xf numFmtId="0" fontId="0" fillId="0" borderId="0" xfId="0"/>
    <xf numFmtId="0" fontId="3" fillId="0" borderId="1" xfId="0" applyFont="1" applyBorder="1" applyProtection="1">
      <protection locked="0"/>
    </xf>
    <xf numFmtId="0" fontId="2" fillId="0" borderId="1" xfId="0" applyFont="1" applyBorder="1" applyAlignment="1">
      <alignment horizontal="center"/>
    </xf>
    <xf numFmtId="0" fontId="3" fillId="3" borderId="2" xfId="0" applyFont="1" applyFill="1" applyBorder="1"/>
    <xf numFmtId="0" fontId="3" fillId="3" borderId="3" xfId="0" applyFont="1" applyFill="1" applyBorder="1"/>
    <xf numFmtId="0" fontId="2" fillId="0" borderId="6" xfId="0" applyFont="1" applyBorder="1" applyAlignment="1">
      <alignment horizontal="center"/>
    </xf>
    <xf numFmtId="0" fontId="2" fillId="5" borderId="1" xfId="0" applyFont="1" applyFill="1" applyBorder="1"/>
    <xf numFmtId="0" fontId="2" fillId="6" borderId="1" xfId="0" applyFont="1" applyFill="1" applyBorder="1"/>
    <xf numFmtId="0" fontId="3" fillId="7" borderId="0" xfId="0" applyFont="1" applyFill="1"/>
    <xf numFmtId="0" fontId="3" fillId="0" borderId="4" xfId="0" applyFont="1" applyBorder="1"/>
    <xf numFmtId="0" fontId="3" fillId="0" borderId="5" xfId="0" applyFont="1" applyBorder="1"/>
    <xf numFmtId="0" fontId="12" fillId="0" borderId="0" xfId="0" applyFont="1"/>
    <xf numFmtId="4" fontId="3" fillId="0" borderId="1" xfId="0" quotePrefix="1" applyNumberFormat="1" applyFont="1" applyBorder="1"/>
    <xf numFmtId="0" fontId="1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1" fillId="0" borderId="1" xfId="0" applyFont="1" applyBorder="1"/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 applyProtection="1">
      <alignment horizontal="center"/>
      <protection locked="0"/>
    </xf>
    <xf numFmtId="0" fontId="1" fillId="2" borderId="1" xfId="0" applyFont="1" applyFill="1" applyBorder="1"/>
    <xf numFmtId="0" fontId="1" fillId="5" borderId="12" xfId="0" applyFont="1" applyFill="1" applyBorder="1"/>
    <xf numFmtId="0" fontId="20" fillId="5" borderId="11" xfId="0" applyFont="1" applyFill="1" applyBorder="1"/>
    <xf numFmtId="0" fontId="0" fillId="5" borderId="13" xfId="0" applyFill="1" applyBorder="1"/>
    <xf numFmtId="0" fontId="1" fillId="6" borderId="12" xfId="0" applyFont="1" applyFill="1" applyBorder="1"/>
    <xf numFmtId="0" fontId="0" fillId="6" borderId="11" xfId="0" applyFill="1" applyBorder="1"/>
    <xf numFmtId="0" fontId="0" fillId="6" borderId="13" xfId="0" applyFill="1" applyBorder="1"/>
    <xf numFmtId="0" fontId="20" fillId="6" borderId="11" xfId="0" applyFont="1" applyFill="1" applyBorder="1"/>
    <xf numFmtId="0" fontId="0" fillId="7" borderId="1" xfId="0" applyFill="1" applyBorder="1"/>
    <xf numFmtId="0" fontId="0" fillId="8" borderId="1" xfId="0" applyFill="1" applyBorder="1"/>
    <xf numFmtId="0" fontId="21" fillId="7" borderId="1" xfId="0" applyFont="1" applyFill="1" applyBorder="1"/>
    <xf numFmtId="0" fontId="0" fillId="8" borderId="1" xfId="0" quotePrefix="1" applyFill="1" applyBorder="1"/>
    <xf numFmtId="0" fontId="22" fillId="0" borderId="1" xfId="0" applyFont="1" applyBorder="1" applyAlignment="1">
      <alignment vertical="center"/>
    </xf>
    <xf numFmtId="0" fontId="22" fillId="0" borderId="1" xfId="1" applyFont="1" applyBorder="1" applyAlignment="1">
      <alignment vertical="center"/>
    </xf>
    <xf numFmtId="0" fontId="5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2" fontId="15" fillId="0" borderId="12" xfId="0" quotePrefix="1" applyNumberFormat="1" applyFont="1" applyBorder="1" applyAlignment="1">
      <alignment horizontal="center"/>
    </xf>
    <xf numFmtId="2" fontId="15" fillId="0" borderId="11" xfId="0" applyNumberFormat="1" applyFont="1" applyBorder="1" applyAlignment="1">
      <alignment horizontal="center"/>
    </xf>
    <xf numFmtId="2" fontId="15" fillId="0" borderId="13" xfId="0" applyNumberFormat="1" applyFont="1" applyBorder="1" applyAlignment="1">
      <alignment horizontal="center"/>
    </xf>
    <xf numFmtId="2" fontId="15" fillId="0" borderId="12" xfId="0" applyNumberFormat="1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8" borderId="4" xfId="0" applyFill="1" applyBorder="1"/>
    <xf numFmtId="0" fontId="0" fillId="8" borderId="5" xfId="0" applyFill="1" applyBorder="1"/>
    <xf numFmtId="0" fontId="0" fillId="8" borderId="6" xfId="0" applyFill="1" applyBorder="1"/>
    <xf numFmtId="0" fontId="0" fillId="0" borderId="1" xfId="0" applyBorder="1"/>
    <xf numFmtId="0" fontId="0" fillId="8" borderId="1" xfId="0" applyFill="1" applyBorder="1"/>
    <xf numFmtId="0" fontId="3" fillId="7" borderId="5" xfId="0" applyFont="1" applyFill="1" applyBorder="1"/>
    <xf numFmtId="0" fontId="3" fillId="0" borderId="11" xfId="0" applyFont="1" applyBorder="1" applyProtection="1">
      <protection locked="0"/>
    </xf>
    <xf numFmtId="0" fontId="3" fillId="0" borderId="11" xfId="0" applyFont="1" applyBorder="1"/>
    <xf numFmtId="0" fontId="3" fillId="0" borderId="13" xfId="0" applyFont="1" applyBorder="1"/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0" xfId="0" applyFont="1"/>
    <xf numFmtId="0" fontId="3" fillId="0" borderId="12" xfId="0" applyFont="1" applyBorder="1" applyProtection="1">
      <protection locked="0"/>
    </xf>
    <xf numFmtId="0" fontId="3" fillId="0" borderId="5" xfId="0" applyFont="1" applyBorder="1" applyProtection="1">
      <protection locked="0"/>
    </xf>
    <xf numFmtId="0" fontId="7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164" fontId="15" fillId="0" borderId="12" xfId="0" applyNumberFormat="1" applyFont="1" applyBorder="1" applyAlignment="1">
      <alignment horizontal="center"/>
    </xf>
    <xf numFmtId="0" fontId="12" fillId="0" borderId="0" xfId="0" applyFont="1"/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/>
    <xf numFmtId="0" fontId="3" fillId="0" borderId="1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8C01-4AA0-4C3B-81DA-CB364881AFBC}">
  <dimension ref="A3:Q39"/>
  <sheetViews>
    <sheetView tabSelected="1" zoomScaleNormal="100" zoomScalePageLayoutView="154" workbookViewId="0">
      <selection activeCell="D38" sqref="D38:J38"/>
    </sheetView>
  </sheetViews>
  <sheetFormatPr baseColWidth="10" defaultRowHeight="13.5" x14ac:dyDescent="0.25"/>
  <cols>
    <col min="1" max="1" width="32.85546875" style="14" customWidth="1"/>
    <col min="2" max="2" width="15.7109375" style="14" customWidth="1"/>
    <col min="3" max="3" width="12.7109375" style="14" customWidth="1"/>
    <col min="4" max="4" width="13.85546875" style="14" customWidth="1"/>
    <col min="5" max="5" width="8" style="14" customWidth="1"/>
    <col min="6" max="6" width="8.5703125" style="14" customWidth="1"/>
    <col min="7" max="7" width="11.42578125" style="14"/>
    <col min="8" max="8" width="8.7109375" style="14" customWidth="1"/>
    <col min="9" max="9" width="8.28515625" style="14" customWidth="1"/>
    <col min="10" max="10" width="17" style="14" customWidth="1"/>
    <col min="11" max="16384" width="11.42578125" style="14"/>
  </cols>
  <sheetData>
    <row r="3" spans="1:10" ht="15.75" x14ac:dyDescent="0.25">
      <c r="A3" s="16" t="s">
        <v>0</v>
      </c>
      <c r="B3" s="17" t="s">
        <v>1</v>
      </c>
      <c r="C3" s="55"/>
      <c r="D3" s="58" t="s">
        <v>90</v>
      </c>
      <c r="E3" s="59"/>
      <c r="F3" s="59"/>
      <c r="G3" s="59"/>
      <c r="H3" s="59"/>
      <c r="I3" s="59"/>
      <c r="J3" s="59"/>
    </row>
    <row r="4" spans="1:10" ht="15" x14ac:dyDescent="0.25">
      <c r="A4" s="18" t="s">
        <v>2</v>
      </c>
      <c r="B4" s="1">
        <v>64</v>
      </c>
      <c r="C4" s="56"/>
      <c r="D4" s="3"/>
      <c r="E4" s="4"/>
      <c r="F4" s="2" t="s">
        <v>3</v>
      </c>
      <c r="G4" s="34" t="s">
        <v>4</v>
      </c>
      <c r="H4" s="35"/>
      <c r="I4" s="35"/>
      <c r="J4" s="36"/>
    </row>
    <row r="5" spans="1:10" ht="15" x14ac:dyDescent="0.25">
      <c r="A5" s="18" t="s">
        <v>5</v>
      </c>
      <c r="B5" s="1">
        <v>183</v>
      </c>
      <c r="C5" s="56"/>
      <c r="D5" s="60" t="s">
        <v>6</v>
      </c>
      <c r="E5" s="61"/>
      <c r="F5" s="5" t="s">
        <v>7</v>
      </c>
      <c r="G5" s="34" t="s">
        <v>8</v>
      </c>
      <c r="H5" s="35"/>
      <c r="I5" s="35"/>
      <c r="J5" s="36"/>
    </row>
    <row r="6" spans="1:10" ht="15" x14ac:dyDescent="0.25">
      <c r="A6" s="18" t="s">
        <v>9</v>
      </c>
      <c r="B6" s="1">
        <v>90</v>
      </c>
      <c r="C6" s="56"/>
      <c r="D6" s="60" t="s">
        <v>10</v>
      </c>
      <c r="E6" s="62"/>
      <c r="F6" s="5" t="s">
        <v>11</v>
      </c>
      <c r="G6" s="34" t="s">
        <v>12</v>
      </c>
      <c r="H6" s="35"/>
      <c r="I6" s="35"/>
      <c r="J6" s="36"/>
    </row>
    <row r="7" spans="1:10" ht="15" x14ac:dyDescent="0.25">
      <c r="A7" s="18" t="s">
        <v>13</v>
      </c>
      <c r="B7" s="12">
        <f>IFERROR((10000*B6/(B5 * B5)),"")</f>
        <v>26.874496103198066</v>
      </c>
      <c r="C7" s="56"/>
      <c r="D7" s="60" t="s">
        <v>14</v>
      </c>
      <c r="E7" s="63"/>
      <c r="F7" s="5" t="s">
        <v>15</v>
      </c>
      <c r="G7" s="34" t="s">
        <v>16</v>
      </c>
      <c r="H7" s="35"/>
      <c r="I7" s="35"/>
      <c r="J7" s="36"/>
    </row>
    <row r="8" spans="1:10" ht="15" x14ac:dyDescent="0.25">
      <c r="A8" s="18" t="s">
        <v>17</v>
      </c>
      <c r="B8" s="1">
        <v>95</v>
      </c>
      <c r="C8" s="57"/>
      <c r="D8" s="64"/>
      <c r="E8" s="65"/>
      <c r="F8" s="2" t="s">
        <v>18</v>
      </c>
      <c r="G8" s="34" t="s">
        <v>19</v>
      </c>
      <c r="H8" s="35"/>
      <c r="I8" s="35"/>
      <c r="J8" s="36"/>
    </row>
    <row r="9" spans="1:10" ht="15" x14ac:dyDescent="0.25">
      <c r="A9" s="18" t="s">
        <v>20</v>
      </c>
      <c r="B9" s="1">
        <v>0</v>
      </c>
      <c r="C9" s="32" t="s">
        <v>21</v>
      </c>
      <c r="D9" s="66"/>
      <c r="E9" s="66"/>
      <c r="F9" s="66"/>
      <c r="G9" s="66"/>
      <c r="H9" s="66"/>
      <c r="I9" s="66"/>
      <c r="J9" s="66"/>
    </row>
    <row r="10" spans="1:10" ht="15" x14ac:dyDescent="0.25">
      <c r="A10" s="18" t="s">
        <v>22</v>
      </c>
      <c r="B10" s="1">
        <v>0</v>
      </c>
      <c r="C10" s="33" t="s">
        <v>91</v>
      </c>
      <c r="D10" s="66"/>
      <c r="E10" s="66"/>
      <c r="F10" s="66"/>
      <c r="G10" s="66"/>
      <c r="H10" s="66"/>
      <c r="I10" s="66"/>
      <c r="J10" s="66"/>
    </row>
    <row r="11" spans="1:10" ht="15.75" x14ac:dyDescent="0.25">
      <c r="A11" s="18" t="s">
        <v>24</v>
      </c>
      <c r="B11" s="1">
        <v>30</v>
      </c>
      <c r="C11" s="67"/>
      <c r="D11" s="58" t="s">
        <v>23</v>
      </c>
      <c r="E11" s="59"/>
      <c r="F11" s="59"/>
      <c r="G11" s="59"/>
      <c r="H11" s="59"/>
      <c r="I11" s="59"/>
      <c r="J11" s="59"/>
    </row>
    <row r="12" spans="1:10" ht="15" x14ac:dyDescent="0.25">
      <c r="A12" s="18" t="s">
        <v>27</v>
      </c>
      <c r="B12" s="1">
        <v>30</v>
      </c>
      <c r="C12" s="55"/>
      <c r="D12" s="6" t="s">
        <v>25</v>
      </c>
      <c r="E12" s="34" t="s">
        <v>26</v>
      </c>
      <c r="F12" s="35"/>
      <c r="G12" s="35"/>
      <c r="H12" s="35"/>
      <c r="I12" s="35"/>
      <c r="J12" s="36"/>
    </row>
    <row r="13" spans="1:10" ht="15" x14ac:dyDescent="0.25">
      <c r="A13" s="18" t="s">
        <v>29</v>
      </c>
      <c r="B13" s="1">
        <v>30</v>
      </c>
      <c r="C13" s="55"/>
      <c r="D13" s="6" t="s">
        <v>28</v>
      </c>
      <c r="E13" s="34" t="s">
        <v>76</v>
      </c>
      <c r="F13" s="35"/>
      <c r="G13" s="35"/>
      <c r="H13" s="35"/>
      <c r="I13" s="35"/>
      <c r="J13" s="36"/>
    </row>
    <row r="14" spans="1:10" ht="15" x14ac:dyDescent="0.25">
      <c r="A14" s="18" t="s">
        <v>30</v>
      </c>
      <c r="B14" s="1">
        <v>252</v>
      </c>
      <c r="C14" s="55"/>
      <c r="D14" s="7" t="s">
        <v>31</v>
      </c>
      <c r="E14" s="34" t="s">
        <v>32</v>
      </c>
      <c r="F14" s="47"/>
      <c r="G14" s="47"/>
      <c r="H14" s="47"/>
      <c r="I14" s="47"/>
      <c r="J14" s="48"/>
    </row>
    <row r="15" spans="1:10" ht="15" x14ac:dyDescent="0.25">
      <c r="A15" s="18" t="s">
        <v>33</v>
      </c>
      <c r="B15" s="1">
        <v>35</v>
      </c>
      <c r="C15" s="55"/>
      <c r="D15" s="7" t="s">
        <v>34</v>
      </c>
      <c r="E15" s="9" t="s">
        <v>35</v>
      </c>
      <c r="F15" s="10"/>
      <c r="G15" s="35"/>
      <c r="H15" s="47"/>
      <c r="I15" s="47"/>
      <c r="J15" s="48"/>
    </row>
    <row r="16" spans="1:10" ht="15" x14ac:dyDescent="0.25">
      <c r="A16" s="18" t="s">
        <v>36</v>
      </c>
      <c r="B16" s="1">
        <v>120</v>
      </c>
      <c r="C16" s="55"/>
      <c r="D16" s="7" t="s">
        <v>37</v>
      </c>
      <c r="E16" s="34" t="s">
        <v>38</v>
      </c>
      <c r="F16" s="35"/>
      <c r="G16" s="35"/>
      <c r="H16" s="35"/>
      <c r="I16" s="35"/>
      <c r="J16" s="36"/>
    </row>
    <row r="17" spans="1:17" s="13" customFormat="1" ht="11.25" x14ac:dyDescent="0.2">
      <c r="A17" s="69" t="s">
        <v>83</v>
      </c>
      <c r="B17" s="69"/>
      <c r="C17" s="69"/>
      <c r="D17" s="69"/>
      <c r="E17" s="69"/>
      <c r="F17" s="69"/>
      <c r="G17" s="69"/>
      <c r="H17" s="69"/>
      <c r="I17" s="69"/>
      <c r="J17" s="69"/>
    </row>
    <row r="18" spans="1:17" s="13" customFormat="1" ht="11.25" x14ac:dyDescent="0.2">
      <c r="A18" s="70"/>
      <c r="B18" s="70"/>
      <c r="C18" s="70"/>
      <c r="D18" s="70"/>
      <c r="E18" s="70"/>
      <c r="F18" s="70"/>
      <c r="G18" s="70"/>
      <c r="H18" s="70"/>
      <c r="I18" s="70"/>
      <c r="J18" s="70"/>
    </row>
    <row r="19" spans="1:17" s="13" customFormat="1" ht="11.25" x14ac:dyDescent="0.2">
      <c r="A19" s="71"/>
      <c r="B19" s="71"/>
      <c r="C19" s="71"/>
      <c r="D19" s="71"/>
      <c r="E19" s="71"/>
      <c r="F19" s="71"/>
      <c r="G19" s="71"/>
      <c r="H19" s="71"/>
      <c r="I19" s="71"/>
      <c r="J19" s="71"/>
    </row>
    <row r="20" spans="1:17" ht="15.75" x14ac:dyDescent="0.25">
      <c r="A20" s="16" t="s">
        <v>39</v>
      </c>
      <c r="B20" s="17" t="s">
        <v>40</v>
      </c>
      <c r="C20" s="37" t="s">
        <v>41</v>
      </c>
      <c r="D20" s="38"/>
      <c r="E20" s="38"/>
      <c r="F20" s="38"/>
      <c r="G20" s="38"/>
      <c r="H20" s="38"/>
      <c r="I20" s="38"/>
      <c r="J20" s="39"/>
    </row>
    <row r="21" spans="1:17" ht="15" x14ac:dyDescent="0.25">
      <c r="A21" s="19" t="s">
        <v>25</v>
      </c>
      <c r="B21" s="40">
        <f>IFERROR((EXP(0.953*LN(B16) + 0.139*B7 + 0.718*LN(B13) + 0.053*B8 - 15.745) / (1 + EXP(0.953*LN(B16) + 0.139*B7 + 0.718*LN(B13) + 0.053*B8 - 15.745)) * 100), "")</f>
        <v>50.75230095421437</v>
      </c>
      <c r="C21" s="26" t="s">
        <v>53</v>
      </c>
      <c r="D21" s="52" t="s">
        <v>92</v>
      </c>
      <c r="E21" s="52"/>
      <c r="F21" s="52"/>
      <c r="G21" s="52"/>
      <c r="H21" s="52"/>
      <c r="I21" s="52"/>
      <c r="J21" s="52"/>
    </row>
    <row r="22" spans="1:17" ht="15" x14ac:dyDescent="0.25">
      <c r="A22" s="20" t="s">
        <v>54</v>
      </c>
      <c r="B22" s="41"/>
      <c r="C22" s="27" t="s">
        <v>55</v>
      </c>
      <c r="D22" s="53" t="s">
        <v>61</v>
      </c>
      <c r="E22" s="53"/>
      <c r="F22" s="53"/>
      <c r="G22" s="53"/>
      <c r="H22" s="53"/>
      <c r="I22" s="53"/>
      <c r="J22" s="52"/>
      <c r="Q22"/>
    </row>
    <row r="23" spans="1:17" ht="15" x14ac:dyDescent="0.25">
      <c r="A23" s="21"/>
      <c r="B23" s="42"/>
      <c r="C23" s="28" t="s">
        <v>56</v>
      </c>
      <c r="D23" s="52" t="s">
        <v>57</v>
      </c>
      <c r="E23" s="52"/>
      <c r="F23" s="52"/>
      <c r="G23" s="52"/>
      <c r="H23" s="52"/>
      <c r="I23" s="52"/>
      <c r="J23" s="52"/>
    </row>
    <row r="24" spans="1:17" ht="5.85" customHeight="1" x14ac:dyDescent="0.25">
      <c r="A24" s="54"/>
      <c r="B24" s="54"/>
      <c r="C24" s="54"/>
      <c r="D24" s="54"/>
      <c r="E24" s="54"/>
      <c r="F24" s="54"/>
      <c r="G24" s="54"/>
      <c r="H24" s="54"/>
      <c r="I24" s="54"/>
      <c r="J24" s="54"/>
    </row>
    <row r="25" spans="1:17" ht="15" x14ac:dyDescent="0.25">
      <c r="A25" s="19" t="s">
        <v>28</v>
      </c>
      <c r="B25" s="43">
        <f>IFERROR(8*(B12/B11)+B7+B9*2+B10*2, "")</f>
        <v>34.874496103198069</v>
      </c>
      <c r="C25" s="26" t="s">
        <v>53</v>
      </c>
      <c r="D25" s="52" t="s">
        <v>58</v>
      </c>
      <c r="E25" s="52"/>
      <c r="F25" s="52"/>
      <c r="G25" s="52"/>
      <c r="H25" s="52"/>
      <c r="I25" s="52"/>
      <c r="J25" s="52"/>
    </row>
    <row r="26" spans="1:17" ht="15" x14ac:dyDescent="0.25">
      <c r="A26" s="20" t="s">
        <v>59</v>
      </c>
      <c r="B26" s="41"/>
      <c r="C26" s="27" t="s">
        <v>60</v>
      </c>
      <c r="D26" s="53" t="s">
        <v>61</v>
      </c>
      <c r="E26" s="53"/>
      <c r="F26" s="53"/>
      <c r="G26" s="53"/>
      <c r="H26" s="53"/>
      <c r="I26" s="53"/>
      <c r="J26" s="52"/>
      <c r="M26"/>
    </row>
    <row r="27" spans="1:17" ht="15" x14ac:dyDescent="0.25">
      <c r="A27" s="21"/>
      <c r="B27" s="42"/>
      <c r="C27" s="26" t="s">
        <v>62</v>
      </c>
      <c r="D27" s="52" t="s">
        <v>57</v>
      </c>
      <c r="E27" s="52"/>
      <c r="F27" s="52"/>
      <c r="G27" s="52"/>
      <c r="H27" s="52"/>
      <c r="I27" s="52"/>
      <c r="J27" s="52"/>
    </row>
    <row r="28" spans="1:17" ht="5.85" customHeight="1" x14ac:dyDescent="0.25">
      <c r="A28" s="68"/>
      <c r="B28" s="47"/>
      <c r="C28" s="47"/>
      <c r="D28" s="47"/>
      <c r="E28" s="47"/>
      <c r="F28" s="47"/>
      <c r="G28" s="47"/>
      <c r="H28" s="47"/>
      <c r="I28" s="47"/>
      <c r="J28" s="47"/>
    </row>
    <row r="29" spans="1:17" ht="15" x14ac:dyDescent="0.25">
      <c r="A29" s="22" t="s">
        <v>31</v>
      </c>
      <c r="B29" s="43">
        <f>IFERROR((B4*B11)/(SQRT(B12)*B14), "")</f>
        <v>1.3910414158861362</v>
      </c>
      <c r="C29" s="26" t="s">
        <v>42</v>
      </c>
      <c r="D29" s="46" t="s">
        <v>43</v>
      </c>
      <c r="E29" s="47"/>
      <c r="F29" s="47"/>
      <c r="G29" s="47"/>
      <c r="H29" s="47"/>
      <c r="I29" s="47"/>
      <c r="J29" s="48"/>
    </row>
    <row r="30" spans="1:17" ht="15" x14ac:dyDescent="0.25">
      <c r="A30" s="23"/>
      <c r="B30" s="41"/>
      <c r="C30" s="27" t="s">
        <v>44</v>
      </c>
      <c r="D30" s="49" t="s">
        <v>94</v>
      </c>
      <c r="E30" s="50"/>
      <c r="F30" s="50"/>
      <c r="G30" s="50"/>
      <c r="H30" s="50"/>
      <c r="I30" s="50"/>
      <c r="J30" s="51"/>
    </row>
    <row r="31" spans="1:17" ht="15" x14ac:dyDescent="0.25">
      <c r="A31" s="24"/>
      <c r="B31" s="42"/>
      <c r="C31" s="26" t="s">
        <v>45</v>
      </c>
      <c r="D31" s="46" t="s">
        <v>46</v>
      </c>
      <c r="E31" s="47"/>
      <c r="F31" s="47"/>
      <c r="G31" s="47"/>
      <c r="H31" s="47"/>
      <c r="I31" s="47"/>
      <c r="J31" s="48"/>
    </row>
    <row r="32" spans="1:17" ht="5.8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4"/>
    </row>
    <row r="33" spans="1:10" ht="15" x14ac:dyDescent="0.25">
      <c r="A33" s="22" t="s">
        <v>34</v>
      </c>
      <c r="B33" s="43">
        <f>IFERROR((B11/41)*100/B14, "")</f>
        <v>0.29036004645760743</v>
      </c>
      <c r="C33" s="26" t="s">
        <v>47</v>
      </c>
      <c r="D33" s="46" t="s">
        <v>48</v>
      </c>
      <c r="E33" s="47"/>
      <c r="F33" s="47"/>
      <c r="G33" s="47"/>
      <c r="H33" s="47"/>
      <c r="I33" s="47"/>
      <c r="J33" s="48"/>
    </row>
    <row r="34" spans="1:10" ht="15" x14ac:dyDescent="0.25">
      <c r="A34" s="25" t="s">
        <v>49</v>
      </c>
      <c r="B34" s="44"/>
      <c r="C34" s="27" t="s">
        <v>50</v>
      </c>
      <c r="D34" s="49" t="s">
        <v>93</v>
      </c>
      <c r="E34" s="47"/>
      <c r="F34" s="47"/>
      <c r="G34" s="47"/>
      <c r="H34" s="47"/>
      <c r="I34" s="47"/>
      <c r="J34" s="48"/>
    </row>
    <row r="35" spans="1:10" ht="15" x14ac:dyDescent="0.25">
      <c r="A35" s="24"/>
      <c r="B35" s="45"/>
      <c r="C35" s="26" t="s">
        <v>51</v>
      </c>
      <c r="D35" s="46" t="s">
        <v>52</v>
      </c>
      <c r="E35" s="47"/>
      <c r="F35" s="47"/>
      <c r="G35" s="47"/>
      <c r="H35" s="47"/>
      <c r="I35" s="47"/>
      <c r="J35" s="48"/>
    </row>
    <row r="36" spans="1:10" ht="5.8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 ht="15" x14ac:dyDescent="0.25">
      <c r="A37" s="22" t="s">
        <v>37</v>
      </c>
      <c r="B37" s="72">
        <f>IFERROR(-1.675+0.037*B4+0.094*B7+1.13*B10+0.99*B11/B12-0.013*B14-0.66*B15, "")</f>
        <v>-22.166797366299384</v>
      </c>
      <c r="C37" s="26" t="s">
        <v>63</v>
      </c>
      <c r="D37" s="46" t="s">
        <v>64</v>
      </c>
      <c r="E37" s="47"/>
      <c r="F37" s="47"/>
      <c r="G37" s="47"/>
      <c r="H37" s="47"/>
      <c r="I37" s="47"/>
      <c r="J37" s="48"/>
    </row>
    <row r="38" spans="1:10" ht="15" x14ac:dyDescent="0.25">
      <c r="A38" s="25" t="s">
        <v>65</v>
      </c>
      <c r="B38" s="44"/>
      <c r="C38" s="29" t="s">
        <v>66</v>
      </c>
      <c r="D38" s="49" t="s">
        <v>94</v>
      </c>
      <c r="E38" s="47"/>
      <c r="F38" s="47"/>
      <c r="G38" s="47"/>
      <c r="H38" s="47"/>
      <c r="I38" s="47"/>
      <c r="J38" s="48"/>
    </row>
    <row r="39" spans="1:10" ht="15" x14ac:dyDescent="0.25">
      <c r="A39" s="24"/>
      <c r="B39" s="45"/>
      <c r="C39" s="26" t="s">
        <v>67</v>
      </c>
      <c r="D39" s="46" t="s">
        <v>68</v>
      </c>
      <c r="E39" s="47"/>
      <c r="F39" s="47"/>
      <c r="G39" s="47"/>
      <c r="H39" s="47"/>
      <c r="I39" s="47"/>
      <c r="J39" s="48"/>
    </row>
  </sheetData>
  <sheetProtection formatCells="0" formatColumns="0"/>
  <mergeCells count="44">
    <mergeCell ref="A28:J28"/>
    <mergeCell ref="A17:J19"/>
    <mergeCell ref="D39:J39"/>
    <mergeCell ref="D33:J33"/>
    <mergeCell ref="D34:J34"/>
    <mergeCell ref="D35:J35"/>
    <mergeCell ref="D37:J37"/>
    <mergeCell ref="D38:J38"/>
    <mergeCell ref="D21:J21"/>
    <mergeCell ref="D22:J22"/>
    <mergeCell ref="D23:J23"/>
    <mergeCell ref="B37:B39"/>
    <mergeCell ref="C3:C8"/>
    <mergeCell ref="D11:J11"/>
    <mergeCell ref="D3:J3"/>
    <mergeCell ref="G4:J4"/>
    <mergeCell ref="D5:E5"/>
    <mergeCell ref="G5:J5"/>
    <mergeCell ref="D6:E6"/>
    <mergeCell ref="G6:J6"/>
    <mergeCell ref="D7:E7"/>
    <mergeCell ref="G7:J7"/>
    <mergeCell ref="D8:E8"/>
    <mergeCell ref="G8:J8"/>
    <mergeCell ref="D9:J10"/>
    <mergeCell ref="C11:C16"/>
    <mergeCell ref="E14:J14"/>
    <mergeCell ref="E13:J13"/>
    <mergeCell ref="E12:J12"/>
    <mergeCell ref="C20:J20"/>
    <mergeCell ref="B21:B23"/>
    <mergeCell ref="E16:J16"/>
    <mergeCell ref="B33:B35"/>
    <mergeCell ref="D31:J31"/>
    <mergeCell ref="D30:J30"/>
    <mergeCell ref="D29:J29"/>
    <mergeCell ref="B29:B31"/>
    <mergeCell ref="B25:B27"/>
    <mergeCell ref="D25:J25"/>
    <mergeCell ref="D26:J26"/>
    <mergeCell ref="D27:J27"/>
    <mergeCell ref="A32:J32"/>
    <mergeCell ref="A24:J24"/>
    <mergeCell ref="G15:J15"/>
  </mergeCells>
  <printOptions horizontalCentered="1" verticalCentered="1"/>
  <pageMargins left="0.39370078740157483" right="0.39370078740157483" top="7.874015748031496E-2" bottom="7.874015748031496E-2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E753-1FC1-422C-A950-86D9FBF9BBDD}">
  <dimension ref="A1:L17"/>
  <sheetViews>
    <sheetView zoomScale="98" zoomScaleNormal="98" workbookViewId="0">
      <selection activeCell="B19" sqref="B19"/>
    </sheetView>
  </sheetViews>
  <sheetFormatPr baseColWidth="10" defaultRowHeight="15" x14ac:dyDescent="0.25"/>
  <sheetData>
    <row r="1" spans="1:12" x14ac:dyDescent="0.25">
      <c r="A1" s="75" t="s">
        <v>31</v>
      </c>
      <c r="B1" s="52" t="s">
        <v>69</v>
      </c>
      <c r="C1" s="79"/>
      <c r="D1" s="79"/>
      <c r="E1" s="79"/>
      <c r="F1" s="79"/>
      <c r="G1" s="79"/>
      <c r="H1" s="52"/>
      <c r="I1" s="52"/>
      <c r="J1" s="52"/>
      <c r="K1" s="52"/>
      <c r="L1" s="52"/>
    </row>
    <row r="2" spans="1:12" x14ac:dyDescent="0.25">
      <c r="A2" s="75"/>
      <c r="B2" s="79"/>
      <c r="C2" s="79"/>
      <c r="D2" s="79"/>
      <c r="E2" s="79"/>
      <c r="F2" s="79"/>
      <c r="G2" s="79"/>
      <c r="H2" s="52"/>
      <c r="I2" s="52"/>
      <c r="J2" s="52"/>
      <c r="K2" s="52"/>
      <c r="L2" s="52"/>
    </row>
    <row r="3" spans="1:12" x14ac:dyDescent="0.25">
      <c r="A3" s="75" t="s">
        <v>34</v>
      </c>
      <c r="B3" s="52" t="s">
        <v>70</v>
      </c>
      <c r="C3" s="79"/>
      <c r="D3" s="79"/>
      <c r="E3" s="79"/>
      <c r="F3" s="79"/>
      <c r="G3" s="79"/>
      <c r="H3" s="52"/>
      <c r="I3" s="52"/>
      <c r="J3" s="52"/>
      <c r="K3" s="52"/>
      <c r="L3" s="52"/>
    </row>
    <row r="4" spans="1:12" x14ac:dyDescent="0.25">
      <c r="A4" s="75"/>
      <c r="B4" s="79"/>
      <c r="C4" s="79"/>
      <c r="D4" s="79"/>
      <c r="E4" s="79"/>
      <c r="F4" s="79"/>
      <c r="G4" s="79"/>
      <c r="H4" s="52"/>
      <c r="I4" s="52"/>
      <c r="J4" s="52"/>
      <c r="K4" s="52"/>
      <c r="L4" s="52"/>
    </row>
    <row r="5" spans="1:12" x14ac:dyDescent="0.25">
      <c r="A5" s="75" t="s">
        <v>25</v>
      </c>
      <c r="B5" s="52" t="s">
        <v>71</v>
      </c>
      <c r="C5" s="52"/>
      <c r="D5" s="52"/>
      <c r="E5" s="52"/>
      <c r="F5" s="52"/>
      <c r="G5" s="52"/>
      <c r="H5" s="52"/>
      <c r="I5" s="52"/>
      <c r="J5" s="52"/>
      <c r="K5" s="52"/>
      <c r="L5" s="52"/>
    </row>
    <row r="6" spans="1:12" x14ac:dyDescent="0.25">
      <c r="A6" s="75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</row>
    <row r="7" spans="1:12" x14ac:dyDescent="0.25">
      <c r="A7" s="75" t="s">
        <v>28</v>
      </c>
      <c r="B7" s="52" t="s">
        <v>72</v>
      </c>
      <c r="C7" s="52"/>
      <c r="D7" s="52"/>
      <c r="E7" s="52"/>
      <c r="F7" s="52"/>
      <c r="G7" s="52"/>
      <c r="H7" s="52"/>
      <c r="I7" s="52"/>
      <c r="J7" s="52"/>
      <c r="K7" s="52"/>
      <c r="L7" s="52"/>
    </row>
    <row r="8" spans="1:12" x14ac:dyDescent="0.25">
      <c r="A8" s="75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</row>
    <row r="9" spans="1:12" x14ac:dyDescent="0.25">
      <c r="A9" s="75" t="s">
        <v>37</v>
      </c>
      <c r="B9" s="52" t="s">
        <v>73</v>
      </c>
      <c r="C9" s="52"/>
      <c r="D9" s="52"/>
      <c r="E9" s="52"/>
      <c r="F9" s="52"/>
      <c r="G9" s="52"/>
      <c r="H9" s="52"/>
      <c r="I9" s="52"/>
      <c r="J9" s="52"/>
      <c r="K9" s="52"/>
      <c r="L9" s="52"/>
    </row>
    <row r="10" spans="1:12" x14ac:dyDescent="0.25">
      <c r="A10" s="75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</row>
    <row r="11" spans="1:12" x14ac:dyDescent="0.25">
      <c r="A11" s="75" t="s">
        <v>77</v>
      </c>
      <c r="B11" s="77" t="s">
        <v>78</v>
      </c>
      <c r="C11" s="77"/>
      <c r="D11" s="77"/>
      <c r="E11" s="77"/>
      <c r="F11" s="77"/>
      <c r="G11" s="15" t="s">
        <v>79</v>
      </c>
      <c r="H11" s="52" t="s">
        <v>81</v>
      </c>
      <c r="I11" s="52"/>
      <c r="J11" s="52"/>
      <c r="K11" s="52"/>
      <c r="L11" s="52"/>
    </row>
    <row r="12" spans="1:12" x14ac:dyDescent="0.25">
      <c r="A12" s="76"/>
      <c r="B12" s="77"/>
      <c r="C12" s="77"/>
      <c r="D12" s="77"/>
      <c r="E12" s="77"/>
      <c r="F12" s="77"/>
      <c r="G12" s="15" t="s">
        <v>80</v>
      </c>
      <c r="H12" s="52" t="s">
        <v>82</v>
      </c>
      <c r="I12" s="52"/>
      <c r="J12" s="52"/>
      <c r="K12" s="52"/>
      <c r="L12" s="52"/>
    </row>
    <row r="13" spans="1:12" x14ac:dyDescent="0.25">
      <c r="A13" s="75" t="s">
        <v>88</v>
      </c>
      <c r="B13" s="30" t="s">
        <v>84</v>
      </c>
      <c r="C13" s="77" t="s">
        <v>86</v>
      </c>
      <c r="D13" s="52"/>
      <c r="E13" s="52"/>
      <c r="F13" s="52"/>
      <c r="G13" s="52"/>
      <c r="H13" s="52"/>
      <c r="I13" s="52"/>
      <c r="J13" s="52"/>
      <c r="K13" s="52"/>
      <c r="L13" s="52"/>
    </row>
    <row r="14" spans="1:12" x14ac:dyDescent="0.25">
      <c r="A14" s="78"/>
      <c r="B14" s="31" t="s">
        <v>85</v>
      </c>
      <c r="C14" s="52" t="s">
        <v>87</v>
      </c>
      <c r="D14" s="52"/>
      <c r="E14" s="52"/>
      <c r="F14" s="52"/>
      <c r="G14" s="52"/>
      <c r="H14" s="52"/>
      <c r="I14" s="52"/>
      <c r="J14" s="52"/>
      <c r="K14" s="52"/>
      <c r="L14" s="52"/>
    </row>
    <row r="15" spans="1:12" x14ac:dyDescent="0.25">
      <c r="A15" s="73" t="s">
        <v>74</v>
      </c>
      <c r="B15" s="73"/>
      <c r="C15" s="73"/>
      <c r="D15" s="73"/>
      <c r="E15" s="74"/>
      <c r="F15" s="74"/>
    </row>
    <row r="16" spans="1:12" x14ac:dyDescent="0.25">
      <c r="A16" s="73" t="s">
        <v>75</v>
      </c>
      <c r="B16" s="73"/>
      <c r="C16" s="73"/>
      <c r="D16" s="73"/>
      <c r="E16" s="74"/>
      <c r="F16" s="74"/>
    </row>
    <row r="17" spans="1:3" x14ac:dyDescent="0.25">
      <c r="A17" s="11" t="s">
        <v>89</v>
      </c>
      <c r="B17" s="11"/>
      <c r="C17" s="11"/>
    </row>
  </sheetData>
  <mergeCells count="19">
    <mergeCell ref="A1:A2"/>
    <mergeCell ref="B1:L2"/>
    <mergeCell ref="A3:A4"/>
    <mergeCell ref="B3:L4"/>
    <mergeCell ref="A5:A6"/>
    <mergeCell ref="B5:L6"/>
    <mergeCell ref="A15:F15"/>
    <mergeCell ref="A16:F16"/>
    <mergeCell ref="A7:A8"/>
    <mergeCell ref="B7:L8"/>
    <mergeCell ref="A9:A10"/>
    <mergeCell ref="B9:L10"/>
    <mergeCell ref="A11:A12"/>
    <mergeCell ref="B11:F12"/>
    <mergeCell ref="H11:L11"/>
    <mergeCell ref="H12:L12"/>
    <mergeCell ref="C13:L13"/>
    <mergeCell ref="C14:L14"/>
    <mergeCell ref="A13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ex-teatosis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Cabo Sastre, Jesus Julio</dc:creator>
  <cp:lastModifiedBy>Cabo Sastre, Jesus Julio</cp:lastModifiedBy>
  <cp:lastPrinted>2026-09-07T20:52:53Z</cp:lastPrinted>
  <dcterms:created xsi:type="dcterms:W3CDTF">2026-09-04T22:11:14Z</dcterms:created>
  <dcterms:modified xsi:type="dcterms:W3CDTF">2026-09-09T17:53:26Z</dcterms:modified>
</cp:coreProperties>
</file>